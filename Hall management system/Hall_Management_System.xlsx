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intern.mis\Desktop\"/>
    </mc:Choice>
  </mc:AlternateContent>
  <xr:revisionPtr revIDLastSave="0" documentId="13_ncr:1_{D4AF7272-D144-4222-95A5-35500ABD86D2}" xr6:coauthVersionLast="47" xr6:coauthVersionMax="47" xr10:uidLastSave="{00000000-0000-0000-0000-000000000000}"/>
  <bookViews>
    <workbookView xWindow="-120" yWindow="-120" windowWidth="20730" windowHeight="11160" firstSheet="7" activeTab="11" xr2:uid="{00000000-000D-0000-FFFF-FFFF00000000}"/>
  </bookViews>
  <sheets>
    <sheet name="marriage_halls1" sheetId="2" r:id="rId1"/>
    <sheet name="booking status" sheetId="17" r:id="rId2"/>
    <sheet name="hall_availability" sheetId="3" r:id="rId3"/>
    <sheet name="bookings" sheetId="4" r:id="rId4"/>
    <sheet name="customer_bookings" sheetId="5" r:id="rId5"/>
    <sheet name="hall_expenses" sheetId="6" r:id="rId6"/>
    <sheet name="hall_grocery" sheetId="7" r:id="rId7"/>
    <sheet name="hall_bills" sheetId="8" r:id="rId8"/>
    <sheet name="appointment" sheetId="9" r:id="rId9"/>
    <sheet name="Combined_view" sheetId="10" r:id="rId10"/>
    <sheet name="search halls" sheetId="15" r:id="rId11"/>
    <sheet name="packages" sheetId="11" r:id="rId12"/>
    <sheet name="custom packages" sheetId="12" r:id="rId13"/>
    <sheet name="customer cards discount" sheetId="13" r:id="rId14"/>
    <sheet name="valet parking service" sheetId="14" r:id="rId15"/>
    <sheet name="check availability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7" l="1"/>
  <c r="C14" i="15" a="1"/>
  <c r="C14" i="15" s="1"/>
  <c r="C8" i="15" a="1"/>
  <c r="C8" i="15" s="1"/>
  <c r="C3" i="15" a="1"/>
  <c r="C3" i="15" s="1"/>
  <c r="C2" i="15" a="1"/>
  <c r="C2" i="15" s="1"/>
  <c r="E3" i="2"/>
  <c r="G3" i="13"/>
  <c r="G2" i="13"/>
  <c r="I2" i="12"/>
  <c r="E3" i="12"/>
  <c r="I3" i="12" s="1"/>
  <c r="E2" i="12"/>
  <c r="E7" i="2"/>
  <c r="E8" i="2"/>
  <c r="E5" i="2"/>
  <c r="E4" i="2"/>
  <c r="E2" i="2"/>
  <c r="E2" i="10" s="1"/>
  <c r="H2" i="10"/>
  <c r="E7" i="11"/>
  <c r="E8" i="11"/>
  <c r="E6" i="11"/>
  <c r="E6" i="2" s="1"/>
  <c r="E3" i="10" s="1"/>
  <c r="E3" i="11"/>
  <c r="E4" i="11"/>
  <c r="E5" i="11"/>
  <c r="E2" i="11"/>
  <c r="B2" i="10"/>
  <c r="H3" i="10"/>
  <c r="G3" i="10"/>
  <c r="G2" i="10"/>
  <c r="F2" i="10"/>
  <c r="F3" i="10"/>
  <c r="D2" i="10"/>
  <c r="D3" i="10"/>
  <c r="C3" i="10"/>
  <c r="C2" i="10"/>
  <c r="B3" i="10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<sst xmlns="http://schemas.openxmlformats.org/spreadsheetml/2006/main" count="141" uniqueCount="72">
  <si>
    <t>hall_id</t>
  </si>
  <si>
    <t>name</t>
  </si>
  <si>
    <t>location</t>
  </si>
  <si>
    <t>capacity</t>
  </si>
  <si>
    <t>rent</t>
  </si>
  <si>
    <t>contact_person</t>
  </si>
  <si>
    <t>phone_number</t>
  </si>
  <si>
    <t>email</t>
  </si>
  <si>
    <t>Royal Palace</t>
  </si>
  <si>
    <t>Karachi</t>
  </si>
  <si>
    <t>Ali Raza</t>
  </si>
  <si>
    <t>03111234567</t>
  </si>
  <si>
    <t>ali@royalpalace.pk</t>
  </si>
  <si>
    <t>Pearl Hall</t>
  </si>
  <si>
    <t>Lahore</t>
  </si>
  <si>
    <t>Sana Malik</t>
  </si>
  <si>
    <t>03212345678</t>
  </si>
  <si>
    <t>sana@pearlhall.pk</t>
  </si>
  <si>
    <t>availability_id</t>
  </si>
  <si>
    <t>date_available</t>
  </si>
  <si>
    <t>is_booked</t>
  </si>
  <si>
    <t>hall_booking_id</t>
  </si>
  <si>
    <t>customer_name</t>
  </si>
  <si>
    <t>customer_contact_number</t>
  </si>
  <si>
    <t>booking_date</t>
  </si>
  <si>
    <t>status</t>
  </si>
  <si>
    <t>03001234567</t>
  </si>
  <si>
    <t>pending</t>
  </si>
  <si>
    <t>03451234567</t>
  </si>
  <si>
    <t>confirmation</t>
  </si>
  <si>
    <t>booking_id</t>
  </si>
  <si>
    <t>customer_phone</t>
  </si>
  <si>
    <t>customer_email</t>
  </si>
  <si>
    <t>id</t>
  </si>
  <si>
    <t>amount</t>
  </si>
  <si>
    <t>grocery_id</t>
  </si>
  <si>
    <t>item</t>
  </si>
  <si>
    <t>quantity</t>
  </si>
  <si>
    <t>cost</t>
  </si>
  <si>
    <t>Rice</t>
  </si>
  <si>
    <t>Chicken</t>
  </si>
  <si>
    <t>bill_type</t>
  </si>
  <si>
    <t>Electricity</t>
  </si>
  <si>
    <t>Water</t>
  </si>
  <si>
    <t>appointment_id</t>
  </si>
  <si>
    <t>Mufrah Jawaid</t>
  </si>
  <si>
    <t>Baasim Ahmed</t>
  </si>
  <si>
    <t>mufrahjawaid@email.com</t>
  </si>
  <si>
    <t>baasim@email.com</t>
  </si>
  <si>
    <t>Hall ID</t>
  </si>
  <si>
    <t>num of person</t>
  </si>
  <si>
    <t>per head</t>
  </si>
  <si>
    <t>total package price</t>
  </si>
  <si>
    <t>event_date</t>
  </si>
  <si>
    <t>catering_price</t>
  </si>
  <si>
    <t>decoration_price</t>
  </si>
  <si>
    <t>lighting_price</t>
  </si>
  <si>
    <t>total_price</t>
  </si>
  <si>
    <t>price acc to per head</t>
  </si>
  <si>
    <t>customer name</t>
  </si>
  <si>
    <t>Mufrah jawaid</t>
  </si>
  <si>
    <t>Cards name</t>
  </si>
  <si>
    <t>discount %</t>
  </si>
  <si>
    <t>Meezan Gold</t>
  </si>
  <si>
    <t>discounted price</t>
  </si>
  <si>
    <t>hall name</t>
  </si>
  <si>
    <t>royal palace</t>
  </si>
  <si>
    <t>pearl</t>
  </si>
  <si>
    <t>search filter by capacity</t>
  </si>
  <si>
    <t>search by price</t>
  </si>
  <si>
    <t>search by name</t>
  </si>
  <si>
    <t>checking booking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</si>
</sst>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%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1" fillId="0" borderId="0" xfId="1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Font="1" applyAlignment="1">
      <alignment horizontal="center" vertical="center" wrapText="1"/>
    </xf>
    <xf numFmtId="9" fontId="0" fillId="0" borderId="0" xfId="0" applyNumberFormat="1"/>
    <xf numFmtId="168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li@royalpalace.pk" TargetMode="External"/><Relationship Id="rId2" Type="http://schemas.openxmlformats.org/officeDocument/2006/relationships/hyperlink" Target="mailto:ali@royalpalace.pk" TargetMode="External"/><Relationship Id="rId1" Type="http://schemas.openxmlformats.org/officeDocument/2006/relationships/hyperlink" Target="mailto:ali@royalpalace.pk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ali@royalpalace.pk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mailto:mufrahjawaid@email.com" TargetMode="External"/><Relationship Id="rId1" Type="http://schemas.openxmlformats.org/officeDocument/2006/relationships/hyperlink" Target="mailto:baasim@email.com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workbookViewId="0">
      <selection activeCell="H15" sqref="H15"/>
    </sheetView>
  </sheetViews>
  <sheetFormatPr defaultRowHeight="15"/>
  <cols>
    <col min="2" max="2" width="14.140625" customWidth="1"/>
    <col min="5" max="5" width="13.42578125" customWidth="1"/>
    <col min="6" max="6" width="14.7109375" customWidth="1"/>
    <col min="7" max="7" width="17.85546875" customWidth="1"/>
    <col min="8" max="8" width="19.57031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9</v>
      </c>
      <c r="D2">
        <v>500</v>
      </c>
      <c r="E2">
        <f>VLOOKUP(packages!A2,packages!A2:E5,5,FALSE)</f>
        <v>110000</v>
      </c>
      <c r="F2" t="s">
        <v>10</v>
      </c>
      <c r="G2" t="s">
        <v>11</v>
      </c>
      <c r="H2" s="2" t="s">
        <v>12</v>
      </c>
    </row>
    <row r="3" spans="1:8">
      <c r="A3">
        <v>1</v>
      </c>
      <c r="B3" t="s">
        <v>8</v>
      </c>
      <c r="C3" t="s">
        <v>9</v>
      </c>
      <c r="D3">
        <v>100</v>
      </c>
      <c r="E3">
        <f>VLOOKUP(packages!A2,packages!A3:E5,5,FALSE)</f>
        <v>275000</v>
      </c>
      <c r="F3" t="s">
        <v>10</v>
      </c>
      <c r="G3" t="s">
        <v>11</v>
      </c>
      <c r="H3" s="2" t="s">
        <v>12</v>
      </c>
    </row>
    <row r="4" spans="1:8">
      <c r="A4">
        <v>1</v>
      </c>
      <c r="B4" t="s">
        <v>8</v>
      </c>
      <c r="C4" t="s">
        <v>9</v>
      </c>
      <c r="D4">
        <v>250</v>
      </c>
      <c r="E4">
        <f>VLOOKUP(packages!A4,packages!A4:E5,5,FALSE)</f>
        <v>385000</v>
      </c>
      <c r="F4" t="s">
        <v>10</v>
      </c>
      <c r="G4" t="s">
        <v>11</v>
      </c>
      <c r="H4" s="2" t="s">
        <v>12</v>
      </c>
    </row>
    <row r="5" spans="1:8">
      <c r="A5">
        <v>1</v>
      </c>
      <c r="B5" t="s">
        <v>8</v>
      </c>
      <c r="C5" t="s">
        <v>9</v>
      </c>
      <c r="D5">
        <v>350</v>
      </c>
      <c r="E5">
        <f>VLOOKUP(packages!A5,packages!A5:E5,5,FALSE)</f>
        <v>550000</v>
      </c>
      <c r="F5" t="s">
        <v>10</v>
      </c>
      <c r="G5" t="s">
        <v>11</v>
      </c>
      <c r="H5" s="2" t="s">
        <v>12</v>
      </c>
    </row>
    <row r="6" spans="1:8">
      <c r="A6">
        <v>2</v>
      </c>
      <c r="B6" t="s">
        <v>13</v>
      </c>
      <c r="C6" t="s">
        <v>14</v>
      </c>
      <c r="D6">
        <v>300</v>
      </c>
      <c r="E6">
        <f>VLOOKUP(packages!A6,packages!A6:E8,5,FALSE)</f>
        <v>170000</v>
      </c>
      <c r="F6" t="s">
        <v>15</v>
      </c>
      <c r="G6" t="s">
        <v>16</v>
      </c>
      <c r="H6" t="s">
        <v>17</v>
      </c>
    </row>
    <row r="7" spans="1:8">
      <c r="A7">
        <v>2</v>
      </c>
      <c r="B7" t="s">
        <v>13</v>
      </c>
      <c r="C7" t="s">
        <v>14</v>
      </c>
      <c r="D7">
        <v>100</v>
      </c>
      <c r="E7">
        <f>VLOOKUP(packages!A7,packages!A7:E9,5,FALSE)</f>
        <v>340000</v>
      </c>
      <c r="F7" t="s">
        <v>15</v>
      </c>
      <c r="G7" t="s">
        <v>16</v>
      </c>
      <c r="H7" t="s">
        <v>17</v>
      </c>
    </row>
    <row r="8" spans="1:8">
      <c r="A8">
        <v>2</v>
      </c>
      <c r="B8" t="s">
        <v>13</v>
      </c>
      <c r="C8" t="s">
        <v>14</v>
      </c>
      <c r="D8">
        <v>200</v>
      </c>
      <c r="E8">
        <f>VLOOKUP(packages!A8,packages!A8:E10,5,FALSE)</f>
        <v>510000</v>
      </c>
      <c r="F8" t="s">
        <v>15</v>
      </c>
      <c r="G8" t="s">
        <v>16</v>
      </c>
      <c r="H8" t="s">
        <v>17</v>
      </c>
    </row>
  </sheetData>
  <hyperlinks>
    <hyperlink ref="H2" r:id="rId1" xr:uid="{1FC82C4A-2C8B-4337-853F-E6BBF6098908}"/>
    <hyperlink ref="H3" r:id="rId2" xr:uid="{8F7E8AD2-3BF4-4727-A47D-27219E97F30D}"/>
    <hyperlink ref="H4" r:id="rId3" xr:uid="{EA878D2F-52E4-4992-9A90-F2EDA1E8264F}"/>
    <hyperlink ref="H5" r:id="rId4" xr:uid="{4685175D-5BCB-4B5F-9C54-4D80BFD72C0C}"/>
  </hyperlinks>
  <pageMargins left="0.75" right="0.75" top="1" bottom="1" header="0.5" footer="0.5"/>
  <pageSetup orientation="portrait" horizontalDpi="1200" verticalDpi="1200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03A87-C182-4353-B4C6-62DE7160E591}">
  <dimension ref="C1:C2"/>
  <sheetViews>
    <sheetView workbookViewId="0">
      <selection activeCell="C3" sqref="C3"/>
    </sheetView>
  </sheetViews>
  <sheetFormatPr defaultRowHeight="15"/>
  <cols>
    <col min="3" max="3" width="30.140625" customWidth="1"/>
    <col min="4" max="4" width="19.42578125" customWidth="1"/>
  </cols>
  <sheetData>
    <row r="1" spans="3:3">
      <c r="C1" t="s">
        <v>71</v>
      </c>
    </row>
    <row r="2" spans="3:3">
      <c r="C2" t="str">
        <f>IF(SUMIFS(hall_availability!D:D, hall_availability!B:B, C5, hall_availability!C:C, D5)=1, "Booked", "Available")</f>
        <v>Available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>
      <selection activeCell="F8" sqref="F8"/>
    </sheetView>
  </sheetViews>
  <sheetFormatPr defaultRowHeight="15"/>
  <cols>
    <col min="1" max="1" width="13.5703125" bestFit="1" customWidth="1"/>
    <col min="3" max="3" width="11.42578125" customWidth="1"/>
  </cols>
  <sheetData>
    <row r="1" spans="1:4">
      <c r="A1" t="s">
        <v>18</v>
      </c>
      <c r="B1" t="s">
        <v>0</v>
      </c>
      <c r="C1" t="s">
        <v>19</v>
      </c>
      <c r="D1" t="s">
        <v>20</v>
      </c>
    </row>
    <row r="2" spans="1:4">
      <c r="A2">
        <v>1</v>
      </c>
      <c r="B2">
        <v>1</v>
      </c>
      <c r="C2" s="1">
        <v>45822</v>
      </c>
      <c r="D2">
        <v>0</v>
      </c>
    </row>
    <row r="3" spans="1:4">
      <c r="A3">
        <v>2</v>
      </c>
      <c r="B3">
        <v>2</v>
      </c>
      <c r="C3" s="1">
        <v>45823</v>
      </c>
      <c r="D3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"/>
  <sheetViews>
    <sheetView workbookViewId="0">
      <selection activeCell="F7" sqref="F7"/>
    </sheetView>
  </sheetViews>
  <sheetFormatPr defaultRowHeight="15"/>
  <cols>
    <col min="3" max="3" width="18.5703125" customWidth="1"/>
    <col min="4" max="4" width="13.140625" customWidth="1"/>
    <col min="5" max="5" width="14.28515625" customWidth="1"/>
    <col min="6" max="6" width="15.140625" customWidth="1"/>
  </cols>
  <sheetData>
    <row r="1" spans="1:6">
      <c r="A1" t="s">
        <v>21</v>
      </c>
      <c r="B1" t="s">
        <v>0</v>
      </c>
      <c r="C1" t="s">
        <v>22</v>
      </c>
      <c r="D1" t="s">
        <v>23</v>
      </c>
      <c r="E1" t="s">
        <v>24</v>
      </c>
      <c r="F1" t="s">
        <v>25</v>
      </c>
    </row>
    <row r="2" spans="1:6">
      <c r="A2">
        <v>1</v>
      </c>
      <c r="B2">
        <v>1</v>
      </c>
      <c r="C2" t="s">
        <v>45</v>
      </c>
      <c r="D2" t="s">
        <v>26</v>
      </c>
      <c r="E2" s="1">
        <v>45822</v>
      </c>
      <c r="F2" t="s">
        <v>29</v>
      </c>
    </row>
    <row r="3" spans="1:6">
      <c r="A3">
        <v>2</v>
      </c>
      <c r="B3">
        <v>2</v>
      </c>
      <c r="C3" t="s">
        <v>46</v>
      </c>
      <c r="D3" t="s">
        <v>28</v>
      </c>
      <c r="E3" s="1">
        <v>45823</v>
      </c>
      <c r="F3" t="s">
        <v>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"/>
  <sheetViews>
    <sheetView workbookViewId="0">
      <selection activeCell="D5" sqref="D5"/>
    </sheetView>
  </sheetViews>
  <sheetFormatPr defaultRowHeight="15"/>
  <cols>
    <col min="4" max="4" width="13.7109375" customWidth="1"/>
    <col min="5" max="5" width="12.42578125" customWidth="1"/>
    <col min="6" max="6" width="24.42578125" customWidth="1"/>
    <col min="7" max="7" width="14" customWidth="1"/>
  </cols>
  <sheetData>
    <row r="1" spans="1:7">
      <c r="A1" t="s">
        <v>30</v>
      </c>
      <c r="B1" t="s">
        <v>0</v>
      </c>
      <c r="C1" t="s">
        <v>18</v>
      </c>
      <c r="D1" t="s">
        <v>22</v>
      </c>
      <c r="E1" t="s">
        <v>31</v>
      </c>
      <c r="F1" t="s">
        <v>32</v>
      </c>
      <c r="G1" t="s">
        <v>25</v>
      </c>
    </row>
    <row r="2" spans="1:7">
      <c r="A2">
        <v>1</v>
      </c>
      <c r="B2">
        <v>1</v>
      </c>
      <c r="C2">
        <v>1</v>
      </c>
      <c r="D2" t="s">
        <v>46</v>
      </c>
      <c r="E2" t="s">
        <v>26</v>
      </c>
      <c r="F2" s="2" t="s">
        <v>48</v>
      </c>
      <c r="G2" t="s">
        <v>27</v>
      </c>
    </row>
    <row r="3" spans="1:7">
      <c r="A3">
        <v>2</v>
      </c>
      <c r="B3">
        <v>2</v>
      </c>
      <c r="C3">
        <v>2</v>
      </c>
      <c r="D3" t="s">
        <v>45</v>
      </c>
      <c r="E3" t="s">
        <v>28</v>
      </c>
      <c r="F3" s="2" t="s">
        <v>47</v>
      </c>
      <c r="G3" t="s">
        <v>29</v>
      </c>
    </row>
  </sheetData>
  <hyperlinks>
    <hyperlink ref="F2" r:id="rId1" xr:uid="{1D0A9977-13BD-427B-B496-3215AF2EF148}"/>
    <hyperlink ref="F3" r:id="rId2" xr:uid="{1DAD205B-A93D-4DD4-98D7-1B6801EF77B4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"/>
  <sheetViews>
    <sheetView workbookViewId="0"/>
  </sheetViews>
  <sheetFormatPr defaultRowHeight="15"/>
  <sheetData>
    <row r="1" spans="1:3">
      <c r="A1" t="s">
        <v>33</v>
      </c>
      <c r="B1" t="s">
        <v>0</v>
      </c>
      <c r="C1" t="s">
        <v>34</v>
      </c>
    </row>
    <row r="2" spans="1:3">
      <c r="A2">
        <v>1</v>
      </c>
      <c r="B2">
        <v>1</v>
      </c>
      <c r="C2">
        <v>20000</v>
      </c>
    </row>
    <row r="3" spans="1:3">
      <c r="A3">
        <v>2</v>
      </c>
      <c r="B3">
        <v>2</v>
      </c>
      <c r="C3">
        <v>15000.5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"/>
  <sheetViews>
    <sheetView workbookViewId="0"/>
  </sheetViews>
  <sheetFormatPr defaultRowHeight="15"/>
  <cols>
    <col min="1" max="1" width="10.28515625" bestFit="1" customWidth="1"/>
  </cols>
  <sheetData>
    <row r="1" spans="1:5">
      <c r="A1" t="s">
        <v>35</v>
      </c>
      <c r="B1" t="s">
        <v>0</v>
      </c>
      <c r="C1" t="s">
        <v>36</v>
      </c>
      <c r="D1" t="s">
        <v>37</v>
      </c>
      <c r="E1" t="s">
        <v>38</v>
      </c>
    </row>
    <row r="2" spans="1:5">
      <c r="A2">
        <v>1</v>
      </c>
      <c r="B2">
        <v>1</v>
      </c>
      <c r="C2" t="s">
        <v>39</v>
      </c>
      <c r="D2">
        <v>50</v>
      </c>
      <c r="E2">
        <v>5000</v>
      </c>
    </row>
    <row r="3" spans="1:5">
      <c r="A3">
        <v>2</v>
      </c>
      <c r="B3">
        <v>2</v>
      </c>
      <c r="C3" t="s">
        <v>40</v>
      </c>
      <c r="D3">
        <v>30</v>
      </c>
      <c r="E3">
        <v>6000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"/>
  <sheetViews>
    <sheetView workbookViewId="0"/>
  </sheetViews>
  <sheetFormatPr defaultRowHeight="15"/>
  <sheetData>
    <row r="1" spans="1:4">
      <c r="A1" t="s">
        <v>33</v>
      </c>
      <c r="B1" t="s">
        <v>0</v>
      </c>
      <c r="C1" t="s">
        <v>41</v>
      </c>
      <c r="D1" t="s">
        <v>34</v>
      </c>
    </row>
    <row r="2" spans="1:4">
      <c r="A2">
        <v>1</v>
      </c>
      <c r="B2">
        <v>1</v>
      </c>
      <c r="C2" t="s">
        <v>42</v>
      </c>
      <c r="D2">
        <v>8000</v>
      </c>
    </row>
    <row r="3" spans="1:4">
      <c r="A3">
        <v>2</v>
      </c>
      <c r="B3">
        <v>2</v>
      </c>
      <c r="C3" t="s">
        <v>43</v>
      </c>
      <c r="D3">
        <v>3000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3"/>
  <sheetViews>
    <sheetView workbookViewId="0">
      <selection activeCell="D9" sqref="D9"/>
    </sheetView>
  </sheetViews>
  <sheetFormatPr defaultRowHeight="15"/>
  <sheetData>
    <row r="1" spans="1:1">
      <c r="A1" t="s">
        <v>44</v>
      </c>
    </row>
    <row r="2" spans="1:1">
      <c r="A2">
        <v>1</v>
      </c>
    </row>
    <row r="3" spans="1:1">
      <c r="A3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2E51A-7E6F-4F6B-B57B-AB18F3093BD4}">
  <dimension ref="A1:H3"/>
  <sheetViews>
    <sheetView workbookViewId="0">
      <selection activeCell="E3" sqref="E3"/>
    </sheetView>
  </sheetViews>
  <sheetFormatPr defaultRowHeight="15"/>
  <cols>
    <col min="1" max="1" width="6.7109375" bestFit="1" customWidth="1"/>
    <col min="2" max="2" width="12" bestFit="1" customWidth="1"/>
    <col min="3" max="4" width="8.140625" bestFit="1" customWidth="1"/>
    <col min="5" max="5" width="8.42578125" bestFit="1" customWidth="1"/>
    <col min="6" max="6" width="14.7109375" bestFit="1" customWidth="1"/>
    <col min="7" max="7" width="14.85546875" bestFit="1" customWidth="1"/>
    <col min="8" max="8" width="18.140625" customWidth="1"/>
  </cols>
  <sheetData>
    <row r="1" spans="1:8">
      <c r="A1" t="s">
        <v>49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tr">
        <f>VLOOKUP(A2,marriage_halls1!$A$1:$H$6,2,FALSE)</f>
        <v>Royal Palace</v>
      </c>
      <c r="C2" t="str">
        <f>VLOOKUP(A2,marriage_halls1!$A$1:$H$6,3,FALSE)</f>
        <v>Karachi</v>
      </c>
      <c r="D2">
        <f>VLOOKUP(A2,marriage_halls1!$A$1:$H$6,4,FALSE)</f>
        <v>500</v>
      </c>
      <c r="E2">
        <f>VLOOKUP(A2,marriage_halls1!$A$1:$H$6,5,FALSE)</f>
        <v>110000</v>
      </c>
      <c r="F2" t="str">
        <f>VLOOKUP(marriage_halls1!A2,marriage_halls1!$A$2:$H$6,6,FALSE)</f>
        <v>Ali Raza</v>
      </c>
      <c r="G2" t="str">
        <f>VLOOKUP(marriage_halls1!A2,marriage_halls1!$A$2:$H$6,7,FALSE)</f>
        <v>03111234567</v>
      </c>
      <c r="H2" t="str">
        <f>VLOOKUP(marriage_halls1!A2,marriage_halls1!$A$2:$H$6,8,FALSE)</f>
        <v>ali@royalpalace.pk</v>
      </c>
    </row>
    <row r="3" spans="1:8">
      <c r="A3">
        <v>2</v>
      </c>
      <c r="B3" t="str">
        <f>VLOOKUP(A3,marriage_halls1!$A$1:$H$6,2,FALSE)</f>
        <v>Pearl Hall</v>
      </c>
      <c r="C3" t="str">
        <f>VLOOKUP(A3,marriage_halls1!$A$1:$H$6,3,FALSE)</f>
        <v>Lahore</v>
      </c>
      <c r="D3">
        <f>VLOOKUP(A3,marriage_halls1!$A$1:$H$6,4,FALSE)</f>
        <v>300</v>
      </c>
      <c r="E3">
        <f>VLOOKUP(A3,marriage_halls1!$A$1:$H$6,5,FALSE)</f>
        <v>170000</v>
      </c>
      <c r="F3" t="str">
        <f>VLOOKUP(marriage_halls1!A6,marriage_halls1!$A$2:$H$6,6,FALSE)</f>
        <v>Sana Malik</v>
      </c>
      <c r="G3" t="str">
        <f>VLOOKUP(marriage_halls1!A6,marriage_halls1!$A$2:$H$6,7,FALSE)</f>
        <v>03212345678</v>
      </c>
      <c r="H3" t="str">
        <f>VLOOKUP(marriage_halls1!A6,marriage_halls1!$A$2:$H$6,8,FALSE)</f>
        <v>sana@pearlhall.pk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9E893-713D-46A4-A0C9-D9ED990F0C6D}">
  <dimension ref="C1:J17"/>
  <sheetViews>
    <sheetView workbookViewId="0">
      <selection activeCell="L9" sqref="L9"/>
    </sheetView>
  </sheetViews>
  <sheetFormatPr defaultRowHeight="15"/>
  <cols>
    <col min="2" max="2" width="13.85546875" customWidth="1"/>
    <col min="3" max="3" width="21.5703125" customWidth="1"/>
    <col min="4" max="4" width="12.42578125" customWidth="1"/>
    <col min="5" max="5" width="12" customWidth="1"/>
    <col min="6" max="6" width="11.7109375" customWidth="1"/>
    <col min="8" max="8" width="18.7109375" customWidth="1"/>
    <col min="9" max="9" width="15.140625" customWidth="1"/>
  </cols>
  <sheetData>
    <row r="1" spans="3:10">
      <c r="C1" t="s">
        <v>68</v>
      </c>
    </row>
    <row r="2" spans="3:10">
      <c r="C2" cm="1">
        <f t="array" ref="C2:I2">_xlfn._xlws.FILTER(marriage_halls1!A2:G5,marriage_halls1!D2:D5&lt;=100)</f>
        <v>1</v>
      </c>
      <c r="D2" t="str">
        <v>Royal Palace</v>
      </c>
      <c r="E2" t="str">
        <v>Karachi</v>
      </c>
      <c r="F2">
        <v>100</v>
      </c>
      <c r="G2">
        <v>275000</v>
      </c>
      <c r="H2" t="str">
        <v>Ali Raza</v>
      </c>
      <c r="I2" t="str">
        <v>03111234567</v>
      </c>
    </row>
    <row r="3" spans="3:10">
      <c r="C3" cm="1">
        <f t="array" ref="C3:I5">_xlfn._xlws.FILTER(marriage_halls1!A2:G5,marriage_halls1!D2:D5&lt;=350)</f>
        <v>1</v>
      </c>
      <c r="D3" t="str">
        <v>Royal Palace</v>
      </c>
      <c r="E3" t="str">
        <v>Karachi</v>
      </c>
      <c r="F3">
        <v>100</v>
      </c>
      <c r="G3">
        <v>275000</v>
      </c>
      <c r="H3" t="str">
        <v>Ali Raza</v>
      </c>
      <c r="I3" t="str">
        <v>03111234567</v>
      </c>
    </row>
    <row r="4" spans="3:10">
      <c r="C4">
        <v>1</v>
      </c>
      <c r="D4" t="str">
        <v>Royal Palace</v>
      </c>
      <c r="E4" t="str">
        <v>Karachi</v>
      </c>
      <c r="F4">
        <v>250</v>
      </c>
      <c r="G4">
        <v>385000</v>
      </c>
      <c r="H4" t="str">
        <v>Ali Raza</v>
      </c>
      <c r="I4" t="str">
        <v>03111234567</v>
      </c>
    </row>
    <row r="5" spans="3:10">
      <c r="C5">
        <v>1</v>
      </c>
      <c r="D5" t="str">
        <v>Royal Palace</v>
      </c>
      <c r="E5" t="str">
        <v>Karachi</v>
      </c>
      <c r="F5">
        <v>350</v>
      </c>
      <c r="G5">
        <v>550000</v>
      </c>
      <c r="H5" t="str">
        <v>Ali Raza</v>
      </c>
      <c r="I5" t="str">
        <v>03111234567</v>
      </c>
    </row>
    <row r="7" spans="3:10">
      <c r="C7" t="s">
        <v>69</v>
      </c>
    </row>
    <row r="8" spans="3:10">
      <c r="C8" cm="1">
        <f t="array" ref="C8:G11">_xlfn._xlws.FILTER(marriage_halls1!A2:E5,marriage_halls1!E2:E5&lt;=550000)</f>
        <v>1</v>
      </c>
      <c r="D8" t="str">
        <v>Royal Palace</v>
      </c>
      <c r="E8" t="str">
        <v>Karachi</v>
      </c>
      <c r="F8">
        <v>500</v>
      </c>
      <c r="G8">
        <v>110000</v>
      </c>
    </row>
    <row r="9" spans="3:10">
      <c r="C9">
        <v>1</v>
      </c>
      <c r="D9" t="str">
        <v>Royal Palace</v>
      </c>
      <c r="E9" t="str">
        <v>Karachi</v>
      </c>
      <c r="F9">
        <v>100</v>
      </c>
      <c r="G9">
        <v>275000</v>
      </c>
    </row>
    <row r="10" spans="3:10">
      <c r="C10">
        <v>1</v>
      </c>
      <c r="D10" t="str">
        <v>Royal Palace</v>
      </c>
      <c r="E10" t="str">
        <v>Karachi</v>
      </c>
      <c r="F10">
        <v>250</v>
      </c>
      <c r="G10">
        <v>385000</v>
      </c>
    </row>
    <row r="11" spans="3:10">
      <c r="C11">
        <v>1</v>
      </c>
      <c r="D11" t="str">
        <v>Royal Palace</v>
      </c>
      <c r="E11" t="str">
        <v>Karachi</v>
      </c>
      <c r="F11">
        <v>350</v>
      </c>
      <c r="G11">
        <v>550000</v>
      </c>
    </row>
    <row r="13" spans="3:10">
      <c r="C13" t="s">
        <v>70</v>
      </c>
    </row>
    <row r="14" spans="3:10">
      <c r="C14" cm="1">
        <f t="array" ref="C14:J17">_xlfn._xlws.FILTER(marriage_halls1!A2:H8, marriage_halls1!B2:B8 = "royal palace")</f>
        <v>1</v>
      </c>
      <c r="D14" t="str">
        <v>Royal Palace</v>
      </c>
      <c r="E14" t="str">
        <v>Karachi</v>
      </c>
      <c r="F14">
        <v>500</v>
      </c>
      <c r="G14">
        <v>110000</v>
      </c>
      <c r="H14" t="str">
        <v>Ali Raza</v>
      </c>
      <c r="I14" t="str">
        <v>03111234567</v>
      </c>
      <c r="J14" t="str">
        <v>ali@royalpalace.pk</v>
      </c>
    </row>
    <row r="15" spans="3:10">
      <c r="C15">
        <v>1</v>
      </c>
      <c r="D15" t="str">
        <v>Royal Palace</v>
      </c>
      <c r="E15" t="str">
        <v>Karachi</v>
      </c>
      <c r="F15">
        <v>100</v>
      </c>
      <c r="G15">
        <v>275000</v>
      </c>
      <c r="H15" t="str">
        <v>Ali Raza</v>
      </c>
      <c r="I15" t="str">
        <v>03111234567</v>
      </c>
      <c r="J15" t="str">
        <v>ali@royalpalace.pk</v>
      </c>
    </row>
    <row r="16" spans="3:10">
      <c r="C16">
        <v>1</v>
      </c>
      <c r="D16" t="str">
        <v>Royal Palace</v>
      </c>
      <c r="E16" t="str">
        <v>Karachi</v>
      </c>
      <c r="F16">
        <v>250</v>
      </c>
      <c r="G16">
        <v>385000</v>
      </c>
      <c r="H16" t="str">
        <v>Ali Raza</v>
      </c>
      <c r="I16" t="str">
        <v>03111234567</v>
      </c>
      <c r="J16" t="str">
        <v>ali@royalpalace.pk</v>
      </c>
    </row>
    <row r="17" spans="3:10">
      <c r="C17">
        <v>1</v>
      </c>
      <c r="D17" t="str">
        <v>Royal Palace</v>
      </c>
      <c r="E17" t="str">
        <v>Karachi</v>
      </c>
      <c r="F17">
        <v>350</v>
      </c>
      <c r="G17">
        <v>550000</v>
      </c>
      <c r="H17" t="str">
        <v>Ali Raza</v>
      </c>
      <c r="I17" t="str">
        <v>03111234567</v>
      </c>
      <c r="J17" t="str">
        <v>ali@royalpalace.pk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472E2-FBE7-45FD-B0FD-45787C78A5E8}">
  <dimension ref="A1:E8"/>
  <sheetViews>
    <sheetView tabSelected="1" workbookViewId="0">
      <selection activeCell="F15" sqref="F15"/>
    </sheetView>
  </sheetViews>
  <sheetFormatPr defaultRowHeight="15"/>
  <cols>
    <col min="1" max="1" width="11.7109375" customWidth="1"/>
    <col min="2" max="2" width="13.42578125" customWidth="1"/>
    <col min="3" max="3" width="16.5703125" customWidth="1"/>
    <col min="4" max="4" width="14.7109375" customWidth="1"/>
    <col min="5" max="5" width="19" customWidth="1"/>
    <col min="6" max="6" width="17.42578125" customWidth="1"/>
    <col min="7" max="7" width="16.140625" customWidth="1"/>
    <col min="8" max="8" width="18.42578125" customWidth="1"/>
    <col min="9" max="9" width="13.7109375" customWidth="1"/>
    <col min="10" max="10" width="11.42578125" customWidth="1"/>
    <col min="11" max="11" width="18.28515625" customWidth="1"/>
  </cols>
  <sheetData>
    <row r="1" spans="1:5">
      <c r="A1" t="s">
        <v>0</v>
      </c>
      <c r="B1" t="s">
        <v>1</v>
      </c>
      <c r="C1" t="s">
        <v>50</v>
      </c>
      <c r="D1" t="s">
        <v>51</v>
      </c>
      <c r="E1" t="s">
        <v>52</v>
      </c>
    </row>
    <row r="2" spans="1:5">
      <c r="A2">
        <v>1</v>
      </c>
      <c r="B2" t="s">
        <v>8</v>
      </c>
      <c r="C2">
        <v>100</v>
      </c>
      <c r="D2">
        <v>1100</v>
      </c>
      <c r="E2">
        <f>C2*D2</f>
        <v>110000</v>
      </c>
    </row>
    <row r="3" spans="1:5">
      <c r="A3">
        <v>1</v>
      </c>
      <c r="B3" t="s">
        <v>8</v>
      </c>
      <c r="C3">
        <v>250</v>
      </c>
      <c r="D3">
        <v>1100</v>
      </c>
      <c r="E3">
        <f t="shared" ref="E3:E5" si="0">C3*D3</f>
        <v>275000</v>
      </c>
    </row>
    <row r="4" spans="1:5">
      <c r="A4">
        <v>1</v>
      </c>
      <c r="B4" t="s">
        <v>8</v>
      </c>
      <c r="C4">
        <v>350</v>
      </c>
      <c r="D4">
        <v>1100</v>
      </c>
      <c r="E4">
        <f t="shared" si="0"/>
        <v>385000</v>
      </c>
    </row>
    <row r="5" spans="1:5">
      <c r="A5">
        <v>1</v>
      </c>
      <c r="B5" t="s">
        <v>8</v>
      </c>
      <c r="C5">
        <v>500</v>
      </c>
      <c r="D5">
        <v>1100</v>
      </c>
      <c r="E5">
        <f t="shared" si="0"/>
        <v>550000</v>
      </c>
    </row>
    <row r="6" spans="1:5">
      <c r="A6">
        <v>2</v>
      </c>
      <c r="B6" t="s">
        <v>13</v>
      </c>
      <c r="C6">
        <v>100</v>
      </c>
      <c r="D6">
        <v>1700</v>
      </c>
      <c r="E6">
        <f>C6*D6</f>
        <v>170000</v>
      </c>
    </row>
    <row r="7" spans="1:5">
      <c r="A7">
        <v>2</v>
      </c>
      <c r="B7" t="s">
        <v>13</v>
      </c>
      <c r="C7">
        <v>200</v>
      </c>
      <c r="D7">
        <v>1700</v>
      </c>
      <c r="E7">
        <f t="shared" ref="E7:E8" si="1">C7*D7</f>
        <v>340000</v>
      </c>
    </row>
    <row r="8" spans="1:5">
      <c r="A8">
        <v>2</v>
      </c>
      <c r="B8" t="s">
        <v>13</v>
      </c>
      <c r="C8">
        <v>300</v>
      </c>
      <c r="D8">
        <v>1700</v>
      </c>
      <c r="E8">
        <f t="shared" si="1"/>
        <v>510000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576E5-9601-4C17-89C5-A1D822B49D55}">
  <dimension ref="A1:I3"/>
  <sheetViews>
    <sheetView workbookViewId="0">
      <selection activeCell="K2" sqref="K2"/>
    </sheetView>
  </sheetViews>
  <sheetFormatPr defaultRowHeight="15"/>
  <cols>
    <col min="1" max="1" width="15.85546875" customWidth="1"/>
    <col min="2" max="3" width="14.5703125" customWidth="1"/>
    <col min="4" max="5" width="19.28515625" customWidth="1"/>
    <col min="6" max="6" width="15.7109375" customWidth="1"/>
    <col min="7" max="7" width="20.42578125" customWidth="1"/>
    <col min="8" max="8" width="16.5703125" customWidth="1"/>
    <col min="9" max="9" width="14" customWidth="1"/>
  </cols>
  <sheetData>
    <row r="1" spans="1:9" ht="30">
      <c r="A1" s="6" t="s">
        <v>0</v>
      </c>
      <c r="B1" s="6" t="s">
        <v>53</v>
      </c>
      <c r="C1" s="6" t="s">
        <v>59</v>
      </c>
      <c r="D1" s="6" t="s">
        <v>50</v>
      </c>
      <c r="E1" s="6" t="s">
        <v>58</v>
      </c>
      <c r="F1" s="6" t="s">
        <v>54</v>
      </c>
      <c r="G1" s="6" t="s">
        <v>55</v>
      </c>
      <c r="H1" s="6" t="s">
        <v>56</v>
      </c>
      <c r="I1" s="6" t="s">
        <v>57</v>
      </c>
    </row>
    <row r="2" spans="1:9">
      <c r="A2" s="3">
        <v>1</v>
      </c>
      <c r="B2" s="4">
        <v>45823</v>
      </c>
      <c r="C2" s="4" t="s">
        <v>60</v>
      </c>
      <c r="D2" s="3">
        <v>275</v>
      </c>
      <c r="E2" s="3">
        <f>D2*packages!D2</f>
        <v>302500</v>
      </c>
      <c r="F2" s="3">
        <v>80000</v>
      </c>
      <c r="G2" s="3">
        <v>20000</v>
      </c>
      <c r="H2" s="3">
        <v>10000</v>
      </c>
      <c r="I2" s="5">
        <f>SUM(D2:H2)</f>
        <v>412775</v>
      </c>
    </row>
    <row r="3" spans="1:9">
      <c r="A3" s="3">
        <v>2</v>
      </c>
      <c r="B3" s="4">
        <v>45823</v>
      </c>
      <c r="C3" s="4" t="s">
        <v>46</v>
      </c>
      <c r="D3" s="3">
        <v>230</v>
      </c>
      <c r="E3" s="3">
        <f>D3*packages!D3</f>
        <v>253000</v>
      </c>
      <c r="F3" s="3">
        <v>95000</v>
      </c>
      <c r="G3" s="3">
        <v>30000</v>
      </c>
      <c r="H3" s="3">
        <v>15000</v>
      </c>
      <c r="I3" s="5">
        <f>SUM(D3:H3)</f>
        <v>393230</v>
      </c>
    </row>
  </sheetData>
  <pageMargins left="0.7" right="0.7" top="0.75" bottom="0.75" header="0.3" footer="0.3"/>
  <pageSetup orientation="portrait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B5309-9944-4B70-A0AF-9AB649A27E05}">
  <dimension ref="A1:G3"/>
  <sheetViews>
    <sheetView workbookViewId="0">
      <selection activeCell="H8" sqref="H8"/>
    </sheetView>
  </sheetViews>
  <sheetFormatPr defaultRowHeight="15"/>
  <cols>
    <col min="1" max="1" width="14.28515625" customWidth="1"/>
    <col min="2" max="2" width="17.42578125" customWidth="1"/>
    <col min="3" max="3" width="17" customWidth="1"/>
    <col min="4" max="4" width="15.7109375" customWidth="1"/>
    <col min="5" max="5" width="13.5703125" customWidth="1"/>
    <col min="6" max="6" width="20.5703125" customWidth="1"/>
    <col min="7" max="7" width="15.5703125" customWidth="1"/>
  </cols>
  <sheetData>
    <row r="1" spans="1:7" ht="30">
      <c r="A1" s="6" t="s">
        <v>0</v>
      </c>
      <c r="B1" s="6" t="s">
        <v>53</v>
      </c>
      <c r="C1" s="6" t="s">
        <v>59</v>
      </c>
      <c r="D1" s="6" t="s">
        <v>61</v>
      </c>
      <c r="E1" s="6" t="s">
        <v>62</v>
      </c>
      <c r="F1" s="6" t="s">
        <v>57</v>
      </c>
      <c r="G1" s="6" t="s">
        <v>64</v>
      </c>
    </row>
    <row r="2" spans="1:7">
      <c r="A2" s="3">
        <v>1</v>
      </c>
      <c r="B2" s="4">
        <v>45823</v>
      </c>
      <c r="C2" s="4" t="s">
        <v>60</v>
      </c>
      <c r="D2" t="s">
        <v>63</v>
      </c>
      <c r="E2" s="7">
        <v>0.2</v>
      </c>
      <c r="F2" s="5">
        <v>412775</v>
      </c>
      <c r="G2" s="8">
        <f>F2*0.2</f>
        <v>82555</v>
      </c>
    </row>
    <row r="3" spans="1:7">
      <c r="A3" s="3">
        <v>2</v>
      </c>
      <c r="B3" s="4">
        <v>45823</v>
      </c>
      <c r="C3" s="4" t="s">
        <v>46</v>
      </c>
      <c r="D3" t="s">
        <v>63</v>
      </c>
      <c r="E3" s="7">
        <v>0.2</v>
      </c>
      <c r="F3" s="5">
        <v>393230</v>
      </c>
      <c r="G3" s="8">
        <f>F3*0.2</f>
        <v>78646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DC894-100F-45CE-9A89-59EF8EA3CB2C}">
  <dimension ref="A1:B3"/>
  <sheetViews>
    <sheetView workbookViewId="0">
      <selection activeCell="E21" sqref="E21"/>
    </sheetView>
  </sheetViews>
  <sheetFormatPr defaultRowHeight="15"/>
  <cols>
    <col min="2" max="2" width="13.5703125" customWidth="1"/>
    <col min="3" max="3" width="12" customWidth="1"/>
  </cols>
  <sheetData>
    <row r="1" spans="1:2">
      <c r="A1" t="s">
        <v>0</v>
      </c>
      <c r="B1" t="s">
        <v>65</v>
      </c>
    </row>
    <row r="2" spans="1:2">
      <c r="A2">
        <v>1</v>
      </c>
      <c r="B2" t="s">
        <v>66</v>
      </c>
    </row>
    <row r="3" spans="1:2">
      <c r="A3">
        <v>2</v>
      </c>
      <c r="B3" t="s">
        <v>67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A0CF5-7500-451C-8FDC-E3FEF51C2CF6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marriage_halls1</vt:lpstr>
      <vt:lpstr>booking status</vt:lpstr>
      <vt:lpstr>hall_availability</vt:lpstr>
      <vt:lpstr>bookings</vt:lpstr>
      <vt:lpstr>customer_bookings</vt:lpstr>
      <vt:lpstr>hall_expenses</vt:lpstr>
      <vt:lpstr>hall_grocery</vt:lpstr>
      <vt:lpstr>hall_bills</vt:lpstr>
      <vt:lpstr>appointment</vt:lpstr>
      <vt:lpstr>Combined_view</vt:lpstr>
      <vt:lpstr>search halls</vt:lpstr>
      <vt:lpstr>packages</vt:lpstr>
      <vt:lpstr>custom packages</vt:lpstr>
      <vt:lpstr>customer cards discount</vt:lpstr>
      <vt:lpstr>valet parking service</vt:lpstr>
      <vt:lpstr>check availability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Intern Mis</cp:lastModifiedBy>
  <dcterms:created xsi:type="dcterms:W3CDTF">2025-06-15T06:34:01Z</dcterms:created>
  <dcterms:modified xsi:type="dcterms:W3CDTF">2025-06-16T12:35:20Z</dcterms:modified>
</cp:coreProperties>
</file>